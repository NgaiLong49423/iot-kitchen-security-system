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emester 4\IOT102\iot-kitchen-security-system\Docs\"/>
    </mc:Choice>
  </mc:AlternateContent>
  <xr:revisionPtr revIDLastSave="0" documentId="13_ncr:1_{C4356D88-09EB-4C2F-B04D-A6CE4148C14A}" xr6:coauthVersionLast="47" xr6:coauthVersionMax="47" xr10:uidLastSave="{00000000-0000-0000-0000-000000000000}"/>
  <bookViews>
    <workbookView xWindow="-120" yWindow="-120" windowWidth="29040" windowHeight="1752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<sst xmlns="http://schemas.openxmlformats.org/spreadsheetml/2006/main" count="183" uniqueCount="150">
  <si>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</si>
  <si>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</si>
  <si>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</si>
  <si>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</si>
  <si>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</si>
  <si>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</si>
  <si>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</si>
  <si>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</si>
  <si>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</si>
  <si>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</si>
  <si>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</si>
  <si>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</si>
  <si>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</si>
  <si>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</si>
  <si>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</si>
  <si>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</si>
  <si>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</si>
  <si>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</si>
  <si>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</si>
  <si>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</si>
  <si>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</si>
  <si>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</si>
  <si>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</si>
  <si>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</si>
  <si>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</si>
  <si>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</si>
  <si>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</si>
  <si>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</si>
  <si>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</si>
  <si>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</si>
  <si>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</si>
  <si>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</si>
  <si>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</si>
  <si>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</si>
  <si>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</si>
  <si>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</si>
  <si>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</si>
  <si>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</si>
  <si>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</si>
  <si>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</si>
  <si>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</si>
  <si>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</si>
  <si>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</si>
  <si>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</si>
  <si>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</si>
  <si>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</si>
  <si>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</si>
  <si>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</si>
  <si>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</si>
  <si>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</si>
  <si>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</si>
  <si>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</si>
  <si>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</si>
  <si>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</si>
  <si>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</si>
  <si>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</si>
  <si>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</si>
  <si>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</si>
  <si>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</si>
  <si>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</si>
  <si>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</si>
  <si>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</si>
  <si>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</si>
  <si>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</si>
  <si>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</si>
  <si>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</si>
  <si>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</si>
  <si>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</si>
  <si>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</si>
  <si>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</si>
  <si>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</si>
  <si>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</si>
  <si>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</si>
  <si>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</si>
  <si>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</si>
  <si>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</si>
  <si>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</si>
  <si>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</si>
  <si>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</si>
  <si>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</si>
  <si>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</si>
  <si>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</si>
  <si>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</si>
  <si>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</si>
  <si>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</si>
  <si>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</si>
  <si>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</si>
  <si>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</si>
  <si>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</si>
  <si>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</si>
  <si>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</si>
  <si>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</si>
  <si>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</si>
  <si>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</si>
  <si>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</si>
  <si>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</si>
  <si>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</si>
  <si>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</si>
  <si>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</si>
  <si>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</si>
  <si>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</si>
  <si>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</si>
  <si>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</si>
  <si>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</si>
  <si>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IOT102</t>
  </si>
  <si>
    <t>Ngô Gia Long</t>
  </si>
  <si>
    <t>SE190732</t>
  </si>
  <si>
    <t>Gemini AI</t>
  </si>
  <si>
    <r>
      <t>Primary AI collaborator</t>
    </r>
    <r>
      <rPr>
        <sz val="11"/>
        <color theme="1"/>
        <rFont val="Times New Roman"/>
        <charset val="134"/>
      </rPr>
      <t xml:space="preserve"> for system requirements analysis, collaborative architecture decision-making, and continuous tech-stack learning.</t>
    </r>
  </si>
  <si>
    <t>Act as a co-pilot to iterate software designs from raw documents to final code-ready specifications.</t>
  </si>
  <si>
    <t>Cross-check information, explain technical concepts, and clarify newly learned programming terms</t>
  </si>
  <si>
    <t>Enhance conceptual understanding and deep reflection of core computer science knowledge.</t>
  </si>
  <si>
    <t>Stitch Google</t>
  </si>
  <si>
    <t>Generate static HTML/CSS boilerplate and UI layout templates.</t>
  </si>
  <si>
    <t>Low</t>
  </si>
  <si>
    <t>Speed up frontend presentation layer development without manual CSS grid/flexbox retyping.</t>
  </si>
  <si>
    <t>Github Copilot</t>
  </si>
  <si>
    <t>Solve backend core logic, handle database queries via JDBC, and write data control flow patterns directly inside the IDE.</t>
  </si>
  <si>
    <t>Optimize execution speed, auto-complete MVC boilerplates, and eliminate repetitive syntax errors.</t>
  </si>
  <si>
    <t>NotebookLM</t>
  </si>
  <si>
    <t>Ingest raw university requirements, analyze formal documents, and extract strict business logic constraints.</t>
  </si>
  <si>
    <t>Ensure 100% compliance with assignment guidelines, preventing scope creep or missed features.</t>
  </si>
  <si>
    <t>Giảng viên cho nhóm mượn module ESP8266 và nhóm dự định sử dụng nó làm bo mạch điều khiển chính cho hệ thống chống trộm IoT đa cảm biến. Tuy nhiên, tôi phân vân giữa việc tiếp tục sử dụng ESP8266 để tiết kiệm chi phí hay tự mua một module mới có khả năng mở rộng tốt hơn, giúp sản phẩm có tính thực tế và tạo ấn tượng mạnh hơn khi trình diễn.</t>
  </si>
  <si>
    <t>Our lecturer provides an ESP8266 that our group can use as the main controller for a multi-sensor IoT kitchen anti-theft system. However, we are considering buying a new controller to make the project more impressive and expandable. The system currently uses PIR, HC-SR04, LDR, DS1307, buzzer and WiFi notifications. Should we continue using ESP8266 or replace it with another module? Recommend a suitable module and explain the technical benefits, limitations and possible new features.</t>
  </si>
  <si>
    <r>
      <rPr>
        <b/>
        <sz val="11"/>
        <color theme="1"/>
        <rFont val="Calibri"/>
        <family val="2"/>
        <scheme val="minor"/>
      </rPr>
      <t xml:space="preserve">Critical Thinking: </t>
    </r>
    <r>
      <rPr>
        <sz val="11"/>
        <color theme="1"/>
        <rFont val="Calibri"/>
        <family val="2"/>
        <scheme val="minor"/>
      </rPr>
      <t xml:space="preserve">Tôi không đồng ý ngay với đề xuất ESP32-CAM chỉ vì module này mạnh và ấn tượng hơn. Tôi đã so sánh với ESP8266 về chi phí, khả năng xử lý, số chân GPIO, độ khó triển khai và mức độ phù hợp với các cảm biến của dự án. Tôi cũng nhận ra ESP32-CAM có hạn chế về số chân kết nối và yêu cầu nguồn điện ổn định hơn.
</t>
    </r>
    <r>
      <rPr>
        <b/>
        <sz val="11"/>
        <color theme="1"/>
        <rFont val="Calibri"/>
        <family val="2"/>
        <scheme val="minor"/>
      </rPr>
      <t xml:space="preserve">Creative Synthesis: </t>
    </r>
    <r>
      <rPr>
        <sz val="11"/>
        <color theme="1"/>
        <rFont val="Calibri"/>
        <family val="2"/>
        <scheme val="minor"/>
      </rPr>
      <t xml:space="preserve">Từ đề xuất của AI, tôi phát triển thêm ý tưởng kết hợp camera với hệ thống đa cảm biến. Khi PIR, HC-SR04 và LDR cùng phát hiện dấu hiệu bất thường, ESP32-CAM sẽ chụp ảnh và gửi kèm cảnh báo, giúp người dùng có thêm bằng chứng trực quan để phân biệt đột nhập thật và cảnh báo giả.
</t>
    </r>
    <r>
      <rPr>
        <b/>
        <sz val="11"/>
        <color theme="1"/>
        <rFont val="Calibri"/>
        <family val="2"/>
        <scheme val="minor"/>
      </rPr>
      <t>Decision Ownership:</t>
    </r>
    <r>
      <rPr>
        <sz val="11"/>
        <color theme="1"/>
        <rFont val="Calibri"/>
        <family val="2"/>
        <scheme val="minor"/>
      </rPr>
      <t xml:space="preserve"> Sau khi phân tích đề xuất của AI, tôi trình bày phương án với các thành viên trong nhóm. Nhóm cùng đánh giá chi phí và khả năng triển khai, sau đó thống nhất chọn ESP32-CAM và bổ sung chức năng chụp ảnh khi phát hiện hành vi đột nhập.</t>
    </r>
  </si>
  <si>
    <t>AI recommended using ESP32-CAM instead of relying only on ESP8266. ESP32-CAM provides WiFi connectivity, greater processing capability and an integrated camera interface. The camera can capture an image when the sensor system detects a suspected intrusion, providing visual evidence in addition to the buzzer and mobile notification. AI also noted that ESP32-CAM has limited available GPIO pins because several pins are occupied by the camera and microSD functions, so the sensor connection plan must be checked carefully before implementation.</t>
  </si>
  <si>
    <t>https://drive.google.com/file/d/1lqBMvEUYlG2lUimK_ZljTWUqfpG96fuj/view?usp=sharing</t>
  </si>
  <si>
    <t>Tôi muốn dự án chống trộm IoT của nhóm có tính thực tế, đủ nổi bật để trình bày trên CV và GitHub. Tôi yêu cầu AI đề xuất cách nâng cấp dự án nhưng vẫn phải phù hợp với khả năng của sinh viên, thời gian môn học và ngân sách của nhóm.</t>
  </si>
  <si>
    <t>I want our multi-sensor IoT anti-theft project to be practical and impressive enough to include in my CV and GitHub portfolio. Please suggest suitable hardware, software architecture and additional features that can make the project stand out.</t>
  </si>
  <si>
    <t>AI cho rằng dự án càng sử dụng phần cứng mạnh và nhiều công nghệ thì càng nổi bật. AI đề xuất thay các module hiện tại bằng những module đắt tiền hơn, bổ sung nhiều cảm biến và camera mạnh, triển khai Cloud phức tạp, xây dựng Java Spring Boot backend, database và nhiều dịch vụ riêng để quản lý thiết bị, hình ảnh, tài khoản và nhật ký sự kiện.
AI đánh giá rằng việc có Spring Boot backend sẽ giúp dự án thể hiện năng lực Backend Java và tạo ấn tượng tốt hơn trên CV.</t>
  </si>
  <si>
    <r>
      <rPr>
        <b/>
        <sz val="11"/>
        <color theme="1"/>
        <rFont val="Calibri"/>
        <family val="2"/>
        <scheme val="minor"/>
      </rPr>
      <t>Critical Thinking:</t>
    </r>
    <r>
      <rPr>
        <sz val="11"/>
        <color theme="1"/>
        <rFont val="Calibri"/>
        <family val="2"/>
        <scheme val="minor"/>
      </rPr>
      <t xml:space="preserve"> Tôi nhận ra AI đã hiểu sai bối cảnh dự án khi vô tình gộp hai môn học khác nhau thành một hướng phát triển chung. AI cho rằng dự án IoT nên tận dụng hoặc tích hợp với những công nghệ thường xuất hiện trong môn PRJ, từ đó đề xuất bổ sung Java Spring Boot như một phần tất yếu của hệ thống. Tuy nhiên, thực tế hai môn học này không có yêu cầu phải liên kết hay bổ trợ cho nhau. Ý tưởng “gộp tất cả vào một hệ thống” nghe có vẻ hợp lý nhưng lại làm lệch trọng tâm của môn IOT102, tăng độ phức tạp không cần thiết và khiến nhóm phải đầu tư thêm thời gian cho những thành phần không phục vụ trực tiếp mục tiêu học tập.
</t>
    </r>
    <r>
      <rPr>
        <b/>
        <sz val="11"/>
        <color theme="1"/>
        <rFont val="Calibri"/>
        <family val="2"/>
        <scheme val="minor"/>
      </rPr>
      <t>Creative Synthesis</t>
    </r>
    <r>
      <rPr>
        <sz val="11"/>
        <color theme="1"/>
        <rFont val="Calibri"/>
        <family val="2"/>
        <scheme val="minor"/>
      </rPr>
      <t xml:space="preserve">: Thay vì đi theo hướng hợp nhất nhiều công nghệ chỉ để tạo cảm giác đầy đủ, tôi tập trung vào những thành phần thực sự mang lại giá trị cho bài toán IoT. Nhóm giữ lại các nâng cấp như ESP32-CAM chụp ảnh hiện trường, RFID để xác thực, Flame Sensor để phát hiện dấu hiệu cháy và cơ chế lưu nhật ký sự kiện. Phần Cloud/App chỉ đảm nhận các chức năng cần thiết như nhận cảnh báo, xem ảnh, kích hoạt SOS và theo dõi log, tránh mở rộng thành một hệ thống backend lớn chỉ vì AI cho rằng các môn học nên được kết nối với nhau.
</t>
    </r>
    <r>
      <rPr>
        <b/>
        <sz val="11"/>
        <color theme="1"/>
        <rFont val="Calibri"/>
        <family val="2"/>
        <scheme val="minor"/>
      </rPr>
      <t>Decision Ownership:</t>
    </r>
    <r>
      <rPr>
        <sz val="11"/>
        <color theme="1"/>
        <rFont val="Calibri"/>
        <family val="2"/>
        <scheme val="minor"/>
      </rPr>
      <t xml:space="preserve"> Sau khi phân tích yêu cầu môn học và trao đổi với nhóm, tôi quyết định không làm theo đề xuất gộp dự án IoT với định hướng phát triển thường thấy ở môn PRJ. Nhóm ưu tiên xây dựng một hệ thống IoT hoàn chỉnh, ổn định và phù hợp với phạm vi của IOT102. Vì vậy, Java Spring Boot không được đưa vào ở giai đoạn hiện tại. Công nghệ này chỉ được cân nhắc trong tương lai nếu xuất hiện nhu cầu thực tế như quản lý nhiều thiết bị, nhiều người dùng hoặc triển khai một hệ thống tập trung quy mô lớn hơn.</t>
    </r>
  </si>
  <si>
    <t>AI cho rằng để dự án IoT nổi bật trên CV, nhóm nên sử dụng phần cứng mạnh, bổ sung Raspberry Pi, nhiều cảm biến đắt tiền và xây dựng Java Spring Boot backend với database, microservices, Redis, Kafka và các công nghệ Cloud. AI đánh đồng số lượng công nghệ với chất lượng dự án.</t>
  </si>
  <si>
    <t>Khi tôi hỏi tại sao một dự án IoT lại cần phải tích hợp thêm Java Spring Boot, AI không đưa ra được lý do gắn trực tiếp với yêu cầu của đề tài mà thường trả lời theo hướng vòng vo rằng làm như vậy sẽ “tốt hơn”, vừa học được IoT vừa nâng cao kỹ năng Java. AI liên tục suy diễn rằng việc thêm nhiều công nghệ sẽ tự động làm dự án giá trị hơn, dù không chứng minh được chúng giải quyết vấn đề gì trong hệ thống. Đây là một kiểu lập luận mà ChatGPT khá hay mắc phải: trình bày rất thuyết phục và viết tài liệu tốt, nhưng đôi khi quá tự tin vào kết luận của mình và biến một ý kiến thành điều có vẻ như chắc chắn đúng.</t>
  </si>
  <si>
    <t>Tôi nhận ra đề xuất này có thể xuất phát từ việc AI bị lẫn ngữ cảnh giữa môn IoT hiện tại và môn PRJ trước đó của tôi, nơi tôi từng hỏi khá nhiều về Java Servlet và Spring Boot. Vì đã có lịch sử trao đổi về các công nghệ backend, AI suy diễn rằng đây là cơ hội phù hợp để tôi thử nghiệm thêm Spring Boot trong dự án IoT. Tuy nhiên, khi đối chiếu với yêu cầu thực tế của đề tài, tôi thấy việc bổ sung các công nghệ này không xuất phát từ nhu cầu của hệ thống mà chủ yếu dựa trên giả định rằng tôi muốn học công nghệ mới. Điều này cho thấy AI đã sử dụng ngữ cảnh từ các cuộc trò chuyện trước nhưng áp dụng chưa đúng vào phạm vi của bài tập hiện tại.</t>
  </si>
  <si>
    <t>Tôi loại bỏ gần nhưng toàn bộ ý tưởng có AI đề xuất</t>
  </si>
  <si>
    <t>IoT based anti-theft system</t>
  </si>
  <si>
    <t>x</t>
  </si>
  <si>
    <t>https://drive.google.com/file/d/1ws70wNAUbjlKewcACLRBjZRWqpHobPeW/view?usp=sharing</t>
  </si>
  <si>
    <t>PROBLEM-SOLVING</t>
  </si>
  <si>
    <t>Cần tìm hiểu cấu tạo, nguyên lý hoạt động và vai trò của ESP8266 trước khi sử dụng trong hệ thống IoT.</t>
  </si>
  <si>
    <t>Explain the architecture and operating principle of ESP8266, including CPU, memory, GPIO, WiFi communication and its role in an IoT system.</t>
  </si>
  <si>
    <t>AI giải thích ESP8266 gồm bộ xử lý, bộ nhớ Flash, RAM, các chân GPIO và khối WiFi. Module có thể đọc dữ liệu cảm biến, xử lý logic và truyền dữ liệu qua mạng WiFi đến ứng dụng hoặc Cloud.</t>
  </si>
  <si>
    <r>
      <t>Critical Thinking:</t>
    </r>
    <r>
      <rPr>
        <sz val="11"/>
        <color theme="1"/>
        <rFont val="Calibri"/>
        <family val="2"/>
        <scheme val="minor"/>
      </rPr>
      <t xml:space="preserve"> Tôi đối chiếu thông tin AI cung cấp với datasheet và nhận thấy số chân GPIO khả dụng còn phụ thuộc vào loại board và cách sử dụng từng chân. </t>
    </r>
    <r>
      <rPr>
        <b/>
        <sz val="11"/>
        <color theme="1"/>
        <rFont val="Calibri"/>
        <family val="2"/>
        <scheme val="minor"/>
      </rPr>
      <t>Creative Synthesis:</t>
    </r>
    <r>
      <rPr>
        <sz val="11"/>
        <color theme="1"/>
        <rFont val="Calibri"/>
        <family val="2"/>
        <scheme val="minor"/>
      </rPr>
      <t xml:space="preserve"> Tôi liên hệ nguyên lý hoạt động của ESP8266 với dự án bằng cách chia hệ thống thành các khối: thu thập dữ liệu cảm biến, xử lý cảnh báo và truyền dữ liệu qua WiFi. </t>
    </r>
    <r>
      <rPr>
        <b/>
        <sz val="11"/>
        <color theme="1"/>
        <rFont val="Calibri"/>
        <family val="2"/>
        <scheme val="minor"/>
      </rPr>
      <t>Decision Ownership:</t>
    </r>
    <r>
      <rPr>
        <sz val="11"/>
        <color theme="1"/>
        <rFont val="Calibri"/>
        <family val="2"/>
        <scheme val="minor"/>
      </rPr>
      <t xml:space="preserve"> Tôi xác định ESP8266 phù hợp để học nguyên lý IoT và triển khai các chức năng cơ bản, nhưng nhóm vẫn cần kiểm tra giới hạn chân kết nối trước khi lắp mạch.</t>
    </r>
  </si>
  <si>
    <t>Cần tìm hiểu cấu tạo, nguyên lý hoạt động và khả năng giao tiếp của HC-05 để đánh giá khả năng điều khiển thiết bị từ điện thoại.</t>
  </si>
  <si>
    <t>Explain the structure and operating principle of the HC-05 Bluetooth module, including UART communication, Master/Slave modes and how it can connect a microcontroller to a mobile phone.</t>
  </si>
  <si>
    <t>AI giải thích HC-05 sử dụng Bluetooth Classic, giao tiếp với vi điều khiển qua UART và có thể hoạt động ở chế độ Master hoặc Slave. Module có thể nhận lệnh từ điện thoại trong phạm vi gần.</t>
  </si>
  <si>
    <r>
      <t>Critical Thinking:</t>
    </r>
    <r>
      <rPr>
        <sz val="11"/>
        <color theme="1"/>
        <rFont val="Calibri"/>
        <family val="2"/>
        <scheme val="minor"/>
      </rPr>
      <t xml:space="preserve"> Tôi nhận thấy HC-05 chỉ phù hợp với kết nối Bluetooth phạm vi ngắn và không thể thay thế WiFi khi cần gửi cảnh báo qua Internet. Tôi cũng kiểm tra mức điện áp chân RX/TX trước khi đấu nối. </t>
    </r>
    <r>
      <rPr>
        <b/>
        <sz val="11"/>
        <color theme="1"/>
        <rFont val="Calibri"/>
        <family val="2"/>
        <scheme val="minor"/>
      </rPr>
      <t>Creative Synthesis:</t>
    </r>
    <r>
      <rPr>
        <sz val="11"/>
        <color theme="1"/>
        <rFont val="Calibri"/>
        <family val="2"/>
        <scheme val="minor"/>
      </rPr>
      <t xml:space="preserve"> Tôi đề xuất sử dụng HC-05 như một phương án điều khiển cục bộ hoặc dự phòng khi không có mạng, thay vì dùng làm kênh cảnh báo chính. </t>
    </r>
    <r>
      <rPr>
        <b/>
        <sz val="11"/>
        <color theme="1"/>
        <rFont val="Calibri"/>
        <family val="2"/>
        <scheme val="minor"/>
      </rPr>
      <t>Decision Ownership:</t>
    </r>
    <r>
      <rPr>
        <sz val="11"/>
        <color theme="1"/>
        <rFont val="Calibri"/>
        <family val="2"/>
        <scheme val="minor"/>
      </rPr>
      <t xml:space="preserve"> Tôi quyết định chỉ xem HC-05 là module thử nghiệm để hiểu giao tiếp Bluetooth; hệ thống chính vẫn ưu tiên WiFi cho việc gửi cảnh báo từ xa.</t>
    </r>
  </si>
  <si>
    <t>004</t>
  </si>
  <si>
    <t>https://docs.google.com/document/d/1HmdEC9ANd2x_9Mf0rFC0AdUzlVo5tfIL/edit?usp=drive_link&amp;ouid=104267734760244325738&amp;rtpof=true&amp;sd=true</t>
  </si>
  <si>
    <t>https://docs.google.com/document/d/1_rVpJ0FGlCmkMVqam7iwtbF_toUpBtAB/edit?usp=sharing&amp;ouid=104267734760244325738&amp;rtpof=true&amp;sd=true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</si>
</sst>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theme="1"/>
      <name val="Times New Roman"/>
      <charset val="134"/>
    </font>
    <font>
      <b/>
      <sz val="11"/>
      <color theme="1"/>
      <name val="Times New Roman"/>
      <charset val="134"/>
    </font>
    <font>
      <b/>
      <sz val="11"/>
      <color theme="1"/>
      <name val="Calibri"/>
      <family val="2"/>
      <scheme val="minor"/>
    </font>
    <font>
      <u/>
      <sz val="11"/>
      <color theme="10"/>
      <name val="Calibri"/>
      <family val="2"/>
      <scheme val="minor"/>
    </font>
    <font>
      <sz val="10"/>
      <name val="Calibri"/>
      <family val="2"/>
    </font>
    <font>
      <sz val="8"/>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6" fillId="0" borderId="0" applyNumberFormat="0" applyFill="0" applyBorder="0" applyAlignment="0" applyProtection="0"/>
  </cellStyleXfs>
  <cellXfs count="3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4"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13" fillId="0" borderId="0" xfId="0" applyFont="1" applyAlignment="1">
      <alignment vertical="center"/>
    </xf>
    <xf numFmtId="0" fontId="0" fillId="0" borderId="1" xfId="0" applyBorder="1" applyAlignment="1">
      <alignment horizontal="center" vertical="top" wrapText="1"/>
    </xf>
    <xf numFmtId="0" fontId="16" fillId="0" borderId="1" xfId="1" applyBorder="1" applyAlignment="1">
      <alignment horizontal="left" vertical="top" wrapText="1"/>
    </xf>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17"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5" fillId="0" borderId="0" xfId="0" applyFont="1" applyAlignment="1">
      <alignment wrapText="1"/>
    </xf>
    <xf numFmtId="0" fontId="1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document/d/1HmdEC9ANd2x_9Mf0rFC0AdUzlVo5tfIL/edit?usp=drive_link&amp;ouid=104267734760244325738&amp;rtpof=true&amp;sd=true" TargetMode="External"/><Relationship Id="rId2" Type="http://schemas.openxmlformats.org/officeDocument/2006/relationships/hyperlink" Target="https://drive.google.com/file/d/1ws70wNAUbjlKewcACLRBjZRWqpHobPeW/view?usp=sharing" TargetMode="External"/><Relationship Id="rId1" Type="http://schemas.openxmlformats.org/officeDocument/2006/relationships/hyperlink" Target="https://drive.google.com/file/d/1lqBMvEUYlG2lUimK_ZljTWUqfpG96fuj/view?usp=sharing" TargetMode="External"/><Relationship Id="rId4" Type="http://schemas.openxmlformats.org/officeDocument/2006/relationships/hyperlink" Target="https://docs.google.com/document/d/1_rVpJ0FGlCmkMVqam7iwtbF_toUpBtAB/edit?usp=sharing&amp;ouid=104267734760244325738&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6" workbookViewId="0">
      <selection activeCell="E30" sqref="E30"/>
    </sheetView>
  </sheetViews>
  <sheetFormatPr defaultRowHeight="15"/>
  <cols>
    <col min="1" max="1" width="25" customWidth="1"/>
    <col min="2" max="2" width="40" customWidth="1"/>
    <col min="3" max="3" width="15" customWidth="1"/>
    <col min="4" max="4" width="30" customWidth="1"/>
    <col min="5" max="6" width="20" customWidth="1"/>
  </cols>
  <sheetData>
    <row r="1" spans="1:6">
      <c r="A1" s="30" t="s">
        <v>0</v>
      </c>
      <c r="B1" s="31"/>
      <c r="C1" s="31"/>
      <c r="D1" s="31"/>
      <c r="E1" s="31"/>
      <c r="F1" s="31"/>
    </row>
    <row r="3" spans="1:6" ht="18.75">
      <c r="A3" s="1" t="s">
        <v>1</v>
      </c>
    </row>
    <row r="4" spans="1:6">
      <c r="A4" s="2" t="s">
        <v>2</v>
      </c>
      <c r="C4" t="s">
        <v>105</v>
      </c>
    </row>
    <row r="5" spans="1:6">
      <c r="A5" s="2" t="s">
        <v>3</v>
      </c>
      <c r="C5" t="s">
        <v>106</v>
      </c>
    </row>
    <row r="6" spans="1:6">
      <c r="A6" s="2" t="s">
        <v>4</v>
      </c>
      <c r="C6" t="s">
        <v>104</v>
      </c>
    </row>
    <row r="7" spans="1:6">
      <c r="A7" s="2" t="s">
        <v>5</v>
      </c>
      <c r="C7" t="s">
        <v>135</v>
      </c>
    </row>
    <row r="9" spans="1:6" ht="18.75">
      <c r="A9" s="1" t="s">
        <v>6</v>
      </c>
    </row>
    <row r="10" spans="1:6">
      <c r="A10" s="2" t="s">
        <v>7</v>
      </c>
      <c r="C10">
        <v>20</v>
      </c>
    </row>
    <row r="11" spans="1:6">
      <c r="A11" s="2" t="s">
        <v>8</v>
      </c>
      <c r="C11" s="3">
        <v>2</v>
      </c>
    </row>
    <row r="12" spans="1:6">
      <c r="A12" s="2" t="s">
        <v>9</v>
      </c>
      <c r="C12" s="4">
        <f>C11/C10</f>
        <v>0.1</v>
      </c>
      <c r="E12" s="5" t="s">
        <v>10</v>
      </c>
    </row>
    <row r="13" spans="1:6">
      <c r="A13" s="2" t="s">
        <v>11</v>
      </c>
      <c r="C13" s="3">
        <v>2</v>
      </c>
    </row>
    <row r="15" spans="1:6" ht="18.75">
      <c r="A15" s="1" t="s">
        <v>12</v>
      </c>
    </row>
    <row r="16" spans="1:6">
      <c r="A16" s="6" t="s">
        <v>13</v>
      </c>
      <c r="B16" s="6" t="s">
        <v>14</v>
      </c>
      <c r="C16" s="6" t="s">
        <v>15</v>
      </c>
      <c r="D16" s="6" t="s">
        <v>16</v>
      </c>
    </row>
    <row r="17" spans="1:4" ht="60">
      <c r="A17" s="18" t="s">
        <v>107</v>
      </c>
      <c r="B17" s="19" t="s">
        <v>108</v>
      </c>
      <c r="C17" s="18" t="s">
        <v>18</v>
      </c>
      <c r="D17" s="20" t="s">
        <v>109</v>
      </c>
    </row>
    <row r="18" spans="1:4" ht="60">
      <c r="A18" s="18" t="s">
        <v>17</v>
      </c>
      <c r="B18" s="18" t="s">
        <v>110</v>
      </c>
      <c r="C18" s="18" t="s">
        <v>19</v>
      </c>
      <c r="D18" s="18" t="s">
        <v>111</v>
      </c>
    </row>
    <row r="19" spans="1:4" ht="60">
      <c r="A19" s="18" t="s">
        <v>112</v>
      </c>
      <c r="B19" s="21" t="s">
        <v>113</v>
      </c>
      <c r="C19" s="18" t="s">
        <v>114</v>
      </c>
      <c r="D19" s="21" t="s">
        <v>115</v>
      </c>
    </row>
    <row r="20" spans="1:4" ht="60">
      <c r="A20" s="18" t="s">
        <v>116</v>
      </c>
      <c r="B20" s="21" t="s">
        <v>117</v>
      </c>
      <c r="C20" s="18" t="s">
        <v>18</v>
      </c>
      <c r="D20" s="20" t="s">
        <v>118</v>
      </c>
    </row>
    <row r="21" spans="1:4" ht="60">
      <c r="A21" s="22" t="s">
        <v>119</v>
      </c>
      <c r="B21" s="21" t="s">
        <v>120</v>
      </c>
      <c r="C21" s="22" t="s">
        <v>19</v>
      </c>
      <c r="D21" s="21" t="s">
        <v>121</v>
      </c>
    </row>
    <row r="22" spans="1:4">
      <c r="A22" s="22"/>
      <c r="B22" s="21"/>
      <c r="C22" s="22"/>
      <c r="D22" s="21"/>
    </row>
    <row r="23" spans="1:4" ht="18.75">
      <c r="A23" s="1" t="s">
        <v>21</v>
      </c>
    </row>
    <row r="24" spans="1:4">
      <c r="A24" s="6" t="s">
        <v>22</v>
      </c>
      <c r="B24" s="6" t="s">
        <v>23</v>
      </c>
      <c r="C24" s="6" t="s">
        <v>24</v>
      </c>
    </row>
    <row r="25" spans="1:4">
      <c r="A25" s="7" t="s">
        <v>25</v>
      </c>
      <c r="B25" s="8">
        <v>1</v>
      </c>
      <c r="C25" s="9" t="s">
        <v>26</v>
      </c>
    </row>
    <row r="26" spans="1:4">
      <c r="A26" s="7" t="s">
        <v>27</v>
      </c>
      <c r="B26" s="8">
        <v>0</v>
      </c>
      <c r="C26" s="9" t="s">
        <v>26</v>
      </c>
    </row>
    <row r="27" spans="1:4">
      <c r="A27" s="7" t="s">
        <v>28</v>
      </c>
      <c r="B27" s="8">
        <v>1</v>
      </c>
      <c r="C27" s="9" t="s">
        <v>26</v>
      </c>
    </row>
    <row r="28" spans="1:4">
      <c r="A28" s="7" t="s">
        <v>29</v>
      </c>
      <c r="B28" s="8">
        <v>0</v>
      </c>
      <c r="C28"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A5" workbookViewId="0">
      <selection activeCell="G6" sqref="G6"/>
    </sheetView>
  </sheetViews>
  <sheetFormatPr defaultRowHeight="15"/>
  <cols>
    <col min="1" max="1" width="8" customWidth="1"/>
    <col min="2" max="2" width="18" customWidth="1"/>
    <col min="3" max="3" width="17.42578125" bestFit="1" customWidth="1"/>
    <col min="4" max="4" width="25" customWidth="1"/>
    <col min="5" max="5" width="30" customWidth="1"/>
    <col min="6" max="6" width="35" customWidth="1"/>
    <col min="7" max="7" width="50" customWidth="1"/>
    <col min="8" max="8" width="20" customWidth="1"/>
  </cols>
  <sheetData>
    <row r="1" spans="1:8">
      <c r="A1" s="30" t="s">
        <v>30</v>
      </c>
      <c r="B1" s="31"/>
      <c r="C1" s="31"/>
      <c r="D1" s="31"/>
      <c r="E1" s="31"/>
      <c r="F1" s="31"/>
      <c r="G1" s="31"/>
      <c r="H1" s="31"/>
    </row>
    <row r="2" spans="1:8" ht="30" customHeight="1">
      <c r="A2" s="32" t="s">
        <v>31</v>
      </c>
      <c r="B2" s="31"/>
      <c r="C2" s="31"/>
      <c r="D2" s="31"/>
      <c r="E2" s="31"/>
      <c r="F2" s="31"/>
      <c r="G2" s="31"/>
      <c r="H2" s="31"/>
    </row>
    <row r="3" spans="1:8" ht="40.15" customHeight="1">
      <c r="A3" s="6" t="s">
        <v>32</v>
      </c>
      <c r="B3" s="6" t="s">
        <v>33</v>
      </c>
      <c r="C3" s="6" t="s">
        <v>34</v>
      </c>
      <c r="D3" s="6" t="s">
        <v>35</v>
      </c>
      <c r="E3" s="6" t="s">
        <v>36</v>
      </c>
      <c r="F3" s="6" t="s">
        <v>37</v>
      </c>
      <c r="G3" s="6" t="s">
        <v>38</v>
      </c>
      <c r="H3" s="6" t="s">
        <v>39</v>
      </c>
    </row>
    <row r="4" spans="1:8" ht="285">
      <c r="A4" s="7" t="s">
        <v>40</v>
      </c>
      <c r="B4" s="7" t="s">
        <v>41</v>
      </c>
      <c r="C4" s="7" t="s">
        <v>25</v>
      </c>
      <c r="D4" s="23" t="s">
        <v>122</v>
      </c>
      <c r="E4" s="23" t="s">
        <v>123</v>
      </c>
      <c r="F4" s="7" t="s">
        <v>125</v>
      </c>
      <c r="G4" s="7" t="s">
        <v>124</v>
      </c>
      <c r="H4" s="24" t="s">
        <v>126</v>
      </c>
    </row>
    <row r="5" spans="1:8" ht="409.5">
      <c r="A5" s="7" t="s">
        <v>42</v>
      </c>
      <c r="B5" s="7" t="s">
        <v>41</v>
      </c>
      <c r="C5" s="25" t="s">
        <v>28</v>
      </c>
      <c r="D5" s="28" t="s">
        <v>127</v>
      </c>
      <c r="E5" s="28" t="s">
        <v>128</v>
      </c>
      <c r="F5" s="7" t="s">
        <v>129</v>
      </c>
      <c r="G5" s="7" t="s">
        <v>130</v>
      </c>
      <c r="H5" s="24" t="s">
        <v>137</v>
      </c>
    </row>
    <row r="6" spans="1:8" ht="150">
      <c r="A6" s="7" t="s">
        <v>43</v>
      </c>
      <c r="B6" s="7" t="s">
        <v>41</v>
      </c>
      <c r="C6" s="27" t="s">
        <v>138</v>
      </c>
      <c r="D6" s="27" t="s">
        <v>139</v>
      </c>
      <c r="E6" s="27" t="s">
        <v>140</v>
      </c>
      <c r="F6" s="28" t="s">
        <v>141</v>
      </c>
      <c r="G6" s="36" t="s">
        <v>142</v>
      </c>
      <c r="H6" s="24" t="s">
        <v>148</v>
      </c>
    </row>
    <row r="7" spans="1:8" ht="165">
      <c r="A7" s="7" t="s">
        <v>147</v>
      </c>
      <c r="B7" s="7" t="s">
        <v>41</v>
      </c>
      <c r="C7" s="27" t="s">
        <v>138</v>
      </c>
      <c r="D7" s="27" t="s">
        <v>143</v>
      </c>
      <c r="E7" s="27" t="s">
        <v>144</v>
      </c>
      <c r="F7" s="28" t="s">
        <v>145</v>
      </c>
      <c r="G7" s="37" t="s">
        <v>146</v>
      </c>
      <c r="H7" s="24" t="s">
        <v>149</v>
      </c>
    </row>
    <row r="8" spans="1:8" ht="79.900000000000006" customHeight="1">
      <c r="A8" s="7"/>
      <c r="B8" s="7"/>
      <c r="C8" s="7"/>
      <c r="D8" s="7"/>
      <c r="E8" s="7"/>
      <c r="F8" s="7"/>
      <c r="G8" s="7"/>
      <c r="H8" s="7"/>
    </row>
    <row r="9" spans="1:8" ht="79.900000000000006" customHeight="1">
      <c r="A9" s="7"/>
      <c r="B9" s="7"/>
      <c r="C9" s="7"/>
      <c r="D9" s="7"/>
      <c r="E9" s="7"/>
      <c r="F9" s="7"/>
      <c r="G9" s="7"/>
      <c r="H9" s="7"/>
    </row>
    <row r="10" spans="1:8" ht="79.900000000000006" customHeight="1">
      <c r="A10" s="7"/>
      <c r="B10" s="7"/>
      <c r="C10" s="7"/>
      <c r="D10" s="7"/>
      <c r="E10" s="7"/>
      <c r="F10" s="7"/>
      <c r="G10" s="7"/>
      <c r="H10" s="7"/>
    </row>
    <row r="11" spans="1:8" ht="79.900000000000006" customHeight="1">
      <c r="A11" s="7"/>
      <c r="B11" s="7"/>
      <c r="C11" s="7"/>
      <c r="D11" s="7"/>
      <c r="E11" s="7"/>
      <c r="F11" s="7"/>
      <c r="G11" s="7"/>
      <c r="H11" s="7"/>
    </row>
    <row r="12" spans="1:8" ht="79.900000000000006" customHeight="1">
      <c r="A12" s="7"/>
      <c r="B12" s="7"/>
      <c r="C12" s="7"/>
      <c r="D12" s="7"/>
      <c r="E12" s="7"/>
      <c r="F12" s="7"/>
      <c r="G12" s="7"/>
      <c r="H12" s="7"/>
    </row>
    <row r="13" spans="1:8" ht="79.900000000000006" customHeight="1">
      <c r="A13" s="7"/>
      <c r="B13" s="7"/>
      <c r="C13" s="7"/>
      <c r="D13" s="7"/>
      <c r="E13" s="7"/>
      <c r="F13" s="7"/>
      <c r="G13" s="7"/>
      <c r="H13" s="7"/>
    </row>
    <row r="14" spans="1:8" ht="79.900000000000006" customHeight="1">
      <c r="A14" s="7"/>
      <c r="B14" s="7"/>
      <c r="C14" s="7"/>
      <c r="D14" s="7"/>
      <c r="E14" s="7"/>
      <c r="F14" s="7"/>
      <c r="G14" s="7"/>
      <c r="H14" s="7"/>
    </row>
    <row r="15" spans="1:8" ht="79.900000000000006" customHeight="1">
      <c r="A15" s="7"/>
      <c r="B15" s="7"/>
      <c r="C15" s="7"/>
      <c r="D15" s="7"/>
      <c r="E15" s="7"/>
      <c r="F15" s="7"/>
      <c r="G15" s="7"/>
      <c r="H15" s="7"/>
    </row>
    <row r="16" spans="1:8" ht="79.900000000000006" customHeight="1">
      <c r="A16" s="7"/>
      <c r="B16" s="7"/>
      <c r="C16" s="7"/>
      <c r="D16" s="7"/>
      <c r="E16" s="7"/>
      <c r="F16" s="7"/>
      <c r="G16" s="7"/>
      <c r="H16" s="7"/>
    </row>
    <row r="17" spans="1:8" ht="79.900000000000006" customHeight="1">
      <c r="A17" s="7"/>
      <c r="B17" s="7"/>
      <c r="C17" s="7"/>
      <c r="D17" s="7"/>
      <c r="E17" s="7"/>
      <c r="F17" s="7"/>
      <c r="G17" s="7"/>
      <c r="H17" s="7"/>
    </row>
    <row r="18" spans="1:8" ht="79.900000000000006" customHeight="1">
      <c r="A18" s="7"/>
      <c r="B18" s="7"/>
      <c r="C18" s="7"/>
      <c r="D18" s="7"/>
      <c r="E18" s="7"/>
      <c r="F18" s="7"/>
      <c r="G18" s="7"/>
      <c r="H18" s="7"/>
    </row>
    <row r="19" spans="1:8" ht="79.900000000000006" customHeight="1">
      <c r="A19" s="7"/>
      <c r="B19" s="7"/>
      <c r="C19" s="7"/>
      <c r="D19" s="7"/>
      <c r="E19" s="7"/>
      <c r="F19" s="7"/>
      <c r="G19" s="7"/>
      <c r="H19" s="7"/>
    </row>
    <row r="20" spans="1:8" ht="79.900000000000006" customHeight="1">
      <c r="A20" s="7"/>
      <c r="B20" s="7"/>
      <c r="C20" s="7"/>
      <c r="D20" s="7"/>
      <c r="E20" s="7"/>
      <c r="F20" s="7"/>
      <c r="G20" s="7"/>
      <c r="H20" s="7"/>
    </row>
    <row r="21" spans="1:8" ht="79.900000000000006" customHeight="1">
      <c r="A21" s="7"/>
      <c r="B21" s="7"/>
      <c r="C21" s="7"/>
      <c r="D21" s="7"/>
      <c r="E21" s="7"/>
      <c r="F21" s="7"/>
      <c r="G21" s="7"/>
      <c r="H21" s="7"/>
    </row>
    <row r="22" spans="1:8" ht="79.900000000000006" customHeight="1">
      <c r="A22" s="7"/>
      <c r="B22" s="7"/>
      <c r="C22" s="7"/>
      <c r="D22" s="7"/>
      <c r="E22" s="7"/>
      <c r="F22" s="7"/>
      <c r="G22" s="7"/>
      <c r="H22" s="7"/>
    </row>
    <row r="23" spans="1:8" ht="79.900000000000006" customHeight="1">
      <c r="A23" s="7"/>
      <c r="B23" s="7"/>
      <c r="C23" s="7"/>
      <c r="D23" s="7"/>
      <c r="E23" s="7"/>
      <c r="F23" s="7"/>
      <c r="G23" s="7"/>
      <c r="H23" s="7"/>
    </row>
    <row r="24" spans="1:8" ht="79.900000000000006" customHeight="1">
      <c r="A24" s="7"/>
      <c r="B24" s="7"/>
      <c r="C24" s="7"/>
      <c r="D24" s="7"/>
      <c r="E24" s="7"/>
      <c r="F24" s="7"/>
      <c r="G24" s="7"/>
      <c r="H24" s="7"/>
    </row>
    <row r="25" spans="1:8" ht="79.900000000000006" customHeight="1">
      <c r="A25" s="7"/>
      <c r="B25" s="7"/>
      <c r="C25" s="7"/>
      <c r="D25" s="7"/>
      <c r="E25" s="7"/>
      <c r="F25" s="7"/>
      <c r="G25" s="7"/>
      <c r="H25" s="7"/>
    </row>
    <row r="26" spans="1:8" ht="79.900000000000006" customHeight="1">
      <c r="A26" s="7"/>
      <c r="B26" s="7"/>
      <c r="C26" s="7"/>
      <c r="D26" s="7"/>
      <c r="E26" s="7"/>
      <c r="F26" s="7"/>
      <c r="G26" s="7"/>
      <c r="H26" s="7"/>
    </row>
  </sheetData>
  <mergeCells count="2">
    <mergeCell ref="A2:H2"/>
    <mergeCell ref="A1:H1"/>
  </mergeCells>
  <phoneticPr fontId="18" type="noConversion"/>
  <hyperlinks>
    <hyperlink ref="H4" r:id="rId1" xr:uid="{EAA04DA2-4708-4636-B1A3-85719EAF5CD0}"/>
    <hyperlink ref="H5" r:id="rId2" xr:uid="{606E17E0-F9F6-478C-864C-0CD01FABBA13}"/>
    <hyperlink ref="H6" r:id="rId3" xr:uid="{772CBA12-EA29-48AD-8404-9EB11CE486BD}"/>
    <hyperlink ref="H7" r:id="rId4" xr:uid="{8C1F347D-6B85-4606-94B2-7F35A39F8D9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J4" sqref="J4"/>
    </sheetView>
  </sheetViews>
  <sheetFormatPr defaultRowHeight="15"/>
  <cols>
    <col min="1" max="1" width="12" customWidth="1"/>
    <col min="2" max="2" width="22" customWidth="1"/>
    <col min="3" max="6" width="30" customWidth="1"/>
  </cols>
  <sheetData>
    <row r="1" spans="1:6">
      <c r="A1" s="34" t="s">
        <v>44</v>
      </c>
      <c r="B1" s="31"/>
      <c r="C1" s="31"/>
      <c r="D1" s="31"/>
      <c r="E1" s="31"/>
      <c r="F1" s="31"/>
    </row>
    <row r="2" spans="1:6">
      <c r="A2" s="33" t="s">
        <v>45</v>
      </c>
      <c r="B2" s="31"/>
      <c r="C2" s="31"/>
      <c r="D2" s="31"/>
      <c r="E2" s="31"/>
      <c r="F2" s="31"/>
    </row>
    <row r="3" spans="1:6" ht="40.15" customHeight="1">
      <c r="A3" s="6" t="s">
        <v>46</v>
      </c>
      <c r="B3" s="6" t="s">
        <v>47</v>
      </c>
      <c r="C3" s="6" t="s">
        <v>48</v>
      </c>
      <c r="D3" s="6" t="s">
        <v>49</v>
      </c>
      <c r="E3" s="6" t="s">
        <v>50</v>
      </c>
      <c r="F3" s="6" t="s">
        <v>51</v>
      </c>
    </row>
    <row r="4" spans="1:6" ht="315">
      <c r="A4" s="7" t="s">
        <v>42</v>
      </c>
      <c r="B4" s="27" t="s">
        <v>68</v>
      </c>
      <c r="C4" s="27" t="s">
        <v>131</v>
      </c>
      <c r="D4" s="27" t="s">
        <v>132</v>
      </c>
      <c r="E4" s="26" t="s">
        <v>133</v>
      </c>
      <c r="F4" s="7" t="s">
        <v>134</v>
      </c>
    </row>
    <row r="5" spans="1:6" ht="30">
      <c r="A5" s="7" t="s">
        <v>20</v>
      </c>
      <c r="B5" s="7"/>
      <c r="C5" s="7"/>
      <c r="D5" s="7"/>
      <c r="E5" s="7"/>
      <c r="F5" s="7"/>
    </row>
    <row r="6" spans="1:6" ht="60" customHeight="1">
      <c r="A6" s="7"/>
      <c r="B6" s="7"/>
      <c r="C6" s="7"/>
      <c r="D6" s="7"/>
      <c r="E6" s="7"/>
      <c r="F6" s="7"/>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75">
      <c r="A30" s="1" t="s">
        <v>53</v>
      </c>
    </row>
    <row r="31" spans="1:6">
      <c r="A31" s="10" t="s">
        <v>54</v>
      </c>
      <c r="B31" s="10" t="s">
        <v>55</v>
      </c>
      <c r="C31" s="10" t="s">
        <v>56</v>
      </c>
    </row>
    <row r="32" spans="1:6" ht="30">
      <c r="A32" s="7" t="s">
        <v>52</v>
      </c>
      <c r="B32" s="7" t="s">
        <v>57</v>
      </c>
      <c r="C32" s="7" t="s">
        <v>58</v>
      </c>
    </row>
    <row r="33" spans="1:3" ht="30">
      <c r="A33" s="7" t="s">
        <v>59</v>
      </c>
      <c r="B33" s="7" t="s">
        <v>60</v>
      </c>
      <c r="C33" s="7" t="s">
        <v>61</v>
      </c>
    </row>
    <row r="34" spans="1:3" ht="30">
      <c r="A34" s="7" t="s">
        <v>62</v>
      </c>
      <c r="B34" s="7" t="s">
        <v>63</v>
      </c>
      <c r="C34" s="7" t="s">
        <v>64</v>
      </c>
    </row>
    <row r="35" spans="1:3" ht="30">
      <c r="A35" s="7" t="s">
        <v>65</v>
      </c>
      <c r="B35" s="7" t="s">
        <v>66</v>
      </c>
      <c r="C35" s="7" t="s">
        <v>67</v>
      </c>
    </row>
    <row r="36" spans="1:3" ht="45">
      <c r="A36" s="7" t="s">
        <v>68</v>
      </c>
      <c r="B36" s="7" t="s">
        <v>69</v>
      </c>
      <c r="C36" s="7" t="s">
        <v>70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C14" sqref="C14"/>
    </sheetView>
  </sheetViews>
  <sheetFormatPr defaultRowHeight="15"/>
  <cols>
    <col min="1" max="1" width="8" customWidth="1"/>
    <col min="2" max="2" width="60" customWidth="1"/>
    <col min="3" max="3" width="10" customWidth="1"/>
    <col min="4" max="4" width="30" customWidth="1"/>
  </cols>
  <sheetData>
    <row r="1" spans="1:4">
      <c r="A1" s="30" t="s">
        <v>71</v>
      </c>
      <c r="B1" s="31"/>
      <c r="C1" s="31"/>
      <c r="D1" s="31"/>
    </row>
    <row r="2" spans="1:4">
      <c r="A2" s="35" t="s">
        <v>72</v>
      </c>
      <c r="B2" s="31"/>
      <c r="C2" s="31"/>
      <c r="D2" s="31"/>
    </row>
    <row r="4" spans="1:4" ht="18.75">
      <c r="A4" s="1" t="s">
        <v>73</v>
      </c>
    </row>
    <row r="5" spans="1:4">
      <c r="A5" s="6" t="s">
        <v>74</v>
      </c>
      <c r="B5" s="11" t="s">
        <v>75</v>
      </c>
      <c r="C5" s="6" t="s">
        <v>76</v>
      </c>
      <c r="D5" s="11" t="s">
        <v>77</v>
      </c>
    </row>
    <row r="6" spans="1:4">
      <c r="A6" s="12" t="s">
        <v>78</v>
      </c>
      <c r="B6" s="13" t="s">
        <v>79</v>
      </c>
      <c r="C6" s="29" t="s">
        <v>136</v>
      </c>
      <c r="D6" s="13"/>
    </row>
    <row r="7" spans="1:4">
      <c r="A7" s="12" t="s">
        <v>81</v>
      </c>
      <c r="B7" s="13" t="s">
        <v>82</v>
      </c>
      <c r="C7" s="29" t="s">
        <v>136</v>
      </c>
      <c r="D7" s="13"/>
    </row>
    <row r="8" spans="1:4">
      <c r="A8" s="12" t="s">
        <v>83</v>
      </c>
      <c r="B8" s="13" t="s">
        <v>84</v>
      </c>
      <c r="C8" s="29" t="s">
        <v>136</v>
      </c>
      <c r="D8" s="13"/>
    </row>
    <row r="9" spans="1:4">
      <c r="A9" s="12" t="s">
        <v>85</v>
      </c>
      <c r="B9" s="13" t="s">
        <v>86</v>
      </c>
      <c r="C9" s="29" t="s">
        <v>136</v>
      </c>
      <c r="D9" s="13"/>
    </row>
    <row r="10" spans="1:4">
      <c r="A10" s="12" t="s">
        <v>87</v>
      </c>
      <c r="B10" s="13" t="s">
        <v>88</v>
      </c>
      <c r="C10" s="29" t="s">
        <v>136</v>
      </c>
      <c r="D10" s="13"/>
    </row>
    <row r="12" spans="1:4" ht="18.75">
      <c r="A12" s="1" t="s">
        <v>89</v>
      </c>
    </row>
    <row r="13" spans="1:4">
      <c r="A13" s="6" t="s">
        <v>74</v>
      </c>
      <c r="B13" s="11" t="s">
        <v>75</v>
      </c>
      <c r="C13" s="6" t="s">
        <v>76</v>
      </c>
      <c r="D13" s="11" t="s">
        <v>90</v>
      </c>
    </row>
    <row r="14" spans="1:4">
      <c r="A14" s="12" t="s">
        <v>78</v>
      </c>
      <c r="B14" s="13" t="s">
        <v>91</v>
      </c>
      <c r="C14" s="12" t="s">
        <v>80</v>
      </c>
      <c r="D14" s="13"/>
    </row>
    <row r="15" spans="1:4">
      <c r="A15" s="12" t="s">
        <v>81</v>
      </c>
      <c r="B15" s="13" t="s">
        <v>92</v>
      </c>
      <c r="C15" s="12" t="s">
        <v>80</v>
      </c>
      <c r="D15" s="13"/>
    </row>
    <row r="16" spans="1:4">
      <c r="A16" s="12" t="s">
        <v>83</v>
      </c>
      <c r="B16" s="13" t="s">
        <v>93</v>
      </c>
      <c r="C16" s="12" t="s">
        <v>80</v>
      </c>
      <c r="D16" s="13"/>
    </row>
    <row r="17" spans="1:4">
      <c r="A17" s="12" t="s">
        <v>85</v>
      </c>
      <c r="B17" s="13" t="s">
        <v>94</v>
      </c>
      <c r="C17" s="12" t="s">
        <v>80</v>
      </c>
      <c r="D17" s="13"/>
    </row>
    <row r="18" spans="1:4">
      <c r="A18" s="12" t="s">
        <v>87</v>
      </c>
      <c r="B18" s="13" t="s">
        <v>95</v>
      </c>
      <c r="C18" s="12" t="s">
        <v>80</v>
      </c>
      <c r="D18" s="13"/>
    </row>
    <row r="20" spans="1:4" ht="15.75">
      <c r="A20" s="14" t="s">
        <v>96</v>
      </c>
    </row>
    <row r="21" spans="1:4">
      <c r="A21" s="15" t="s">
        <v>97</v>
      </c>
    </row>
    <row r="22" spans="1:4">
      <c r="A22" s="15" t="s">
        <v>98</v>
      </c>
    </row>
    <row r="25" spans="1:4" ht="18.75">
      <c r="A25" s="1" t="s">
        <v>99</v>
      </c>
    </row>
    <row r="26" spans="1:4">
      <c r="A26" s="16" t="s">
        <v>100</v>
      </c>
    </row>
    <row r="27" spans="1:4" ht="60">
      <c r="A27" s="17" t="s">
        <v>32</v>
      </c>
      <c r="B27" s="10" t="s">
        <v>101</v>
      </c>
      <c r="C27" s="10" t="s">
        <v>102</v>
      </c>
      <c r="D27" s="10" t="s">
        <v>103</v>
      </c>
    </row>
    <row r="28" spans="1:4">
      <c r="A28" s="9" t="s">
        <v>40</v>
      </c>
      <c r="B28" s="7"/>
      <c r="C28" s="7"/>
      <c r="D28" s="7"/>
    </row>
    <row r="29" spans="1:4">
      <c r="A29" s="9" t="s">
        <v>42</v>
      </c>
      <c r="B29" s="7"/>
      <c r="C29" s="7"/>
      <c r="D29" s="7"/>
    </row>
    <row r="30" spans="1:4">
      <c r="A30" s="9" t="s">
        <v>43</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 Gia Long</cp:lastModifiedBy>
  <dcterms:created xsi:type="dcterms:W3CDTF">2026-05-07T22:28:42Z</dcterms:created>
  <dcterms:modified xsi:type="dcterms:W3CDTF">2026-06-12T09:01:52Z</dcterms:modified>
</cp:coreProperties>
</file>